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lins/Documents/RSM2022_SIA/RSM-Stable-Isotopes-3/col_output/"/>
    </mc:Choice>
  </mc:AlternateContent>
  <xr:revisionPtr revIDLastSave="0" documentId="13_ncr:1_{EE2460AF-69EF-5A49-AEB0-756AA22FB0E1}" xr6:coauthVersionLast="47" xr6:coauthVersionMax="47" xr10:uidLastSave="{00000000-0000-0000-0000-000000000000}"/>
  <bookViews>
    <workbookView xWindow="12520" yWindow="1740" windowWidth="14580" windowHeight="16940" xr2:uid="{F8E09533-3A31-BB41-912B-7AA76AB37373}"/>
  </bookViews>
  <sheets>
    <sheet name="tet_spsum_new" sheetId="1" r:id="rId1"/>
    <sheet name="per_su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D18" i="1"/>
  <c r="E18" i="1"/>
  <c r="F18" i="1"/>
  <c r="G18" i="1"/>
  <c r="C19" i="1"/>
  <c r="D19" i="1"/>
  <c r="E19" i="1"/>
  <c r="F19" i="1"/>
  <c r="G19" i="1"/>
  <c r="G12" i="1"/>
  <c r="G13" i="1"/>
  <c r="G14" i="1"/>
  <c r="G15" i="1"/>
  <c r="G16" i="1"/>
  <c r="G17" i="1"/>
  <c r="C12" i="1"/>
  <c r="D12" i="1"/>
  <c r="E12" i="1"/>
  <c r="F12" i="1"/>
  <c r="C13" i="1"/>
  <c r="D13" i="1"/>
  <c r="E13" i="1"/>
  <c r="F13" i="1"/>
  <c r="C14" i="1"/>
  <c r="D14" i="1"/>
  <c r="E14" i="1"/>
  <c r="F14" i="1"/>
  <c r="C15" i="1"/>
  <c r="D15" i="1"/>
  <c r="E15" i="1"/>
  <c r="F15" i="1"/>
  <c r="C16" i="1"/>
  <c r="D16" i="1"/>
  <c r="E16" i="1"/>
  <c r="F16" i="1"/>
  <c r="C17" i="1"/>
  <c r="D17" i="1"/>
  <c r="E17" i="1"/>
  <c r="F17" i="1"/>
</calcChain>
</file>

<file path=xl/sharedStrings.xml><?xml version="1.0" encoding="utf-8"?>
<sst xmlns="http://schemas.openxmlformats.org/spreadsheetml/2006/main" count="69" uniqueCount="18">
  <si>
    <t>Treatment</t>
  </si>
  <si>
    <t>Median</t>
  </si>
  <si>
    <t>Mean</t>
  </si>
  <si>
    <t>MAP</t>
  </si>
  <si>
    <t>Lower95</t>
  </si>
  <si>
    <t>Upper95</t>
  </si>
  <si>
    <t>ALAN</t>
  </si>
  <si>
    <t>Aquatic</t>
  </si>
  <si>
    <t>Terrestrial</t>
  </si>
  <si>
    <t>ALAN + Crayfish</t>
  </si>
  <si>
    <t>Control</t>
  </si>
  <si>
    <t>Crayfish</t>
  </si>
  <si>
    <t>Habitat</t>
  </si>
  <si>
    <t>MAP (%)</t>
  </si>
  <si>
    <t>Mean (%)</t>
  </si>
  <si>
    <t>Median (%)</t>
  </si>
  <si>
    <t>Lower95 (%)</t>
  </si>
  <si>
    <t>Upper95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</si>
</sst>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563FF-AA7C-0A42-ABBE-19094A285A6A}">
  <dimension ref="A1:G19"/>
  <sheetViews>
    <sheetView tabSelected="1" workbookViewId="0">
      <selection activeCell="C27" sqref="C27"/>
    </sheetView>
  </sheetViews>
  <sheetFormatPr baseColWidth="10" defaultRowHeight="16" x14ac:dyDescent="0.2"/>
  <cols>
    <col min="1" max="1" width="21.5" customWidth="1"/>
    <col min="2" max="2" width="18.6640625" customWidth="1"/>
  </cols>
  <sheetData>
    <row r="1" spans="1:7" x14ac:dyDescent="0.2">
      <c r="A1" t="s">
        <v>0</v>
      </c>
      <c r="B1" t="s">
        <v>12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6</v>
      </c>
      <c r="B2" t="s">
        <v>7</v>
      </c>
      <c r="C2">
        <v>0.61167127986055303</v>
      </c>
      <c r="D2">
        <v>0.61156422752966999</v>
      </c>
      <c r="E2">
        <v>0.58171554089600896</v>
      </c>
      <c r="F2">
        <v>0.49275837827309099</v>
      </c>
      <c r="G2">
        <v>0.72775261901963595</v>
      </c>
    </row>
    <row r="3" spans="1:7" x14ac:dyDescent="0.2">
      <c r="A3" t="s">
        <v>6</v>
      </c>
      <c r="B3" t="s">
        <v>8</v>
      </c>
      <c r="C3">
        <v>0.38832872013944703</v>
      </c>
      <c r="D3">
        <v>0.38843577247033001</v>
      </c>
      <c r="E3">
        <v>0.29129088365988398</v>
      </c>
      <c r="F3">
        <v>0.272247380980364</v>
      </c>
      <c r="G3">
        <v>0.50724162172690801</v>
      </c>
    </row>
    <row r="4" spans="1:7" x14ac:dyDescent="0.2">
      <c r="A4" t="s">
        <v>9</v>
      </c>
      <c r="B4" t="s">
        <v>7</v>
      </c>
      <c r="C4">
        <v>0.56125399324320702</v>
      </c>
      <c r="D4">
        <v>0.55449158912555396</v>
      </c>
      <c r="E4">
        <v>0.48795162040262302</v>
      </c>
      <c r="F4">
        <v>0.31402878191179001</v>
      </c>
      <c r="G4">
        <v>0.76984455026705001</v>
      </c>
    </row>
    <row r="5" spans="1:7" x14ac:dyDescent="0.2">
      <c r="A5" t="s">
        <v>9</v>
      </c>
      <c r="B5" t="s">
        <v>8</v>
      </c>
      <c r="C5">
        <v>0.43874600675679298</v>
      </c>
      <c r="D5">
        <v>0.44550841087444598</v>
      </c>
      <c r="E5">
        <v>0.52747118792695702</v>
      </c>
      <c r="F5">
        <v>0.23015544973294999</v>
      </c>
      <c r="G5">
        <v>0.68597121808821004</v>
      </c>
    </row>
    <row r="6" spans="1:7" x14ac:dyDescent="0.2">
      <c r="A6" t="s">
        <v>10</v>
      </c>
      <c r="B6" t="s">
        <v>7</v>
      </c>
      <c r="C6">
        <v>0.52425330956439697</v>
      </c>
      <c r="D6">
        <v>0.52332990813185598</v>
      </c>
      <c r="E6">
        <v>0.31952450152687201</v>
      </c>
      <c r="F6">
        <v>0.40279607784862898</v>
      </c>
      <c r="G6">
        <v>0.64008064139270404</v>
      </c>
    </row>
    <row r="7" spans="1:7" x14ac:dyDescent="0.2">
      <c r="A7" t="s">
        <v>10</v>
      </c>
      <c r="B7" t="s">
        <v>8</v>
      </c>
      <c r="C7">
        <v>0.47574669043560303</v>
      </c>
      <c r="D7">
        <v>0.47667009186814402</v>
      </c>
      <c r="E7">
        <v>0.42472325975777597</v>
      </c>
      <c r="F7">
        <v>0.35991935860729601</v>
      </c>
      <c r="G7">
        <v>0.59720392215137097</v>
      </c>
    </row>
    <row r="8" spans="1:7" x14ac:dyDescent="0.2">
      <c r="A8" t="s">
        <v>11</v>
      </c>
      <c r="B8" t="s">
        <v>7</v>
      </c>
      <c r="C8">
        <v>0.65371855539861701</v>
      </c>
      <c r="D8">
        <v>0.64900451388126201</v>
      </c>
      <c r="E8">
        <v>0.64296186282902101</v>
      </c>
      <c r="F8">
        <v>0.47758504879336899</v>
      </c>
      <c r="G8">
        <v>0.77232973113756398</v>
      </c>
    </row>
    <row r="9" spans="1:7" x14ac:dyDescent="0.2">
      <c r="A9" t="s">
        <v>11</v>
      </c>
      <c r="B9" t="s">
        <v>8</v>
      </c>
      <c r="C9">
        <v>0.34628144460138299</v>
      </c>
      <c r="D9">
        <v>0.35099548611873799</v>
      </c>
      <c r="E9">
        <v>0.20491375313402399</v>
      </c>
      <c r="F9">
        <v>0.22767026886243599</v>
      </c>
      <c r="G9">
        <v>0.52241495120663095</v>
      </c>
    </row>
    <row r="11" spans="1:7" x14ac:dyDescent="0.2">
      <c r="A11" t="s">
        <v>0</v>
      </c>
      <c r="B11" t="s">
        <v>12</v>
      </c>
      <c r="C11" t="s">
        <v>1</v>
      </c>
      <c r="D11" t="s">
        <v>2</v>
      </c>
      <c r="E11" t="s">
        <v>3</v>
      </c>
      <c r="F11" t="s">
        <v>4</v>
      </c>
      <c r="G11" t="s">
        <v>5</v>
      </c>
    </row>
    <row r="12" spans="1:7" x14ac:dyDescent="0.2">
      <c r="A12" t="s">
        <v>6</v>
      </c>
      <c r="B12" t="s">
        <v>7</v>
      </c>
      <c r="C12">
        <f t="shared" ref="C12:F12" si="0">ROUND(C2,3) * 100</f>
        <v>61.199999999999996</v>
      </c>
      <c r="D12">
        <f t="shared" si="0"/>
        <v>61.199999999999996</v>
      </c>
      <c r="E12">
        <f t="shared" si="0"/>
        <v>58.199999999999996</v>
      </c>
      <c r="F12">
        <f t="shared" si="0"/>
        <v>49.3</v>
      </c>
      <c r="G12">
        <f t="shared" ref="G12" si="1">ROUND(G2,3) * 100</f>
        <v>72.8</v>
      </c>
    </row>
    <row r="13" spans="1:7" x14ac:dyDescent="0.2">
      <c r="A13" t="s">
        <v>6</v>
      </c>
      <c r="B13" t="s">
        <v>8</v>
      </c>
      <c r="C13">
        <f t="shared" ref="C13:F13" si="2">ROUND(C3,3) * 100</f>
        <v>38.800000000000004</v>
      </c>
      <c r="D13">
        <f t="shared" si="2"/>
        <v>38.800000000000004</v>
      </c>
      <c r="E13">
        <f t="shared" si="2"/>
        <v>29.099999999999998</v>
      </c>
      <c r="F13">
        <f t="shared" si="2"/>
        <v>27.200000000000003</v>
      </c>
      <c r="G13">
        <f t="shared" ref="G13" si="3">ROUND(G3,3) * 100</f>
        <v>50.7</v>
      </c>
    </row>
    <row r="14" spans="1:7" x14ac:dyDescent="0.2">
      <c r="A14" t="s">
        <v>9</v>
      </c>
      <c r="B14" t="s">
        <v>7</v>
      </c>
      <c r="C14">
        <f t="shared" ref="C14:F14" si="4">ROUND(C4,3) * 100</f>
        <v>56.100000000000009</v>
      </c>
      <c r="D14">
        <f t="shared" si="4"/>
        <v>55.400000000000006</v>
      </c>
      <c r="E14">
        <f t="shared" si="4"/>
        <v>48.8</v>
      </c>
      <c r="F14">
        <f t="shared" si="4"/>
        <v>31.4</v>
      </c>
      <c r="G14">
        <f t="shared" ref="G14" si="5">ROUND(G4,3) * 100</f>
        <v>77</v>
      </c>
    </row>
    <row r="15" spans="1:7" x14ac:dyDescent="0.2">
      <c r="A15" t="s">
        <v>9</v>
      </c>
      <c r="B15" t="s">
        <v>8</v>
      </c>
      <c r="C15">
        <f t="shared" ref="C15:F15" si="6">ROUND(C5,3) * 100</f>
        <v>43.9</v>
      </c>
      <c r="D15">
        <f t="shared" si="6"/>
        <v>44.6</v>
      </c>
      <c r="E15">
        <f t="shared" si="6"/>
        <v>52.7</v>
      </c>
      <c r="F15">
        <f t="shared" si="6"/>
        <v>23</v>
      </c>
      <c r="G15">
        <f t="shared" ref="G15" si="7">ROUND(G5,3) * 100</f>
        <v>68.600000000000009</v>
      </c>
    </row>
    <row r="16" spans="1:7" x14ac:dyDescent="0.2">
      <c r="A16" t="s">
        <v>10</v>
      </c>
      <c r="B16" t="s">
        <v>7</v>
      </c>
      <c r="C16">
        <f t="shared" ref="C16:F16" si="8">ROUND(C6,3) * 100</f>
        <v>52.400000000000006</v>
      </c>
      <c r="D16">
        <f t="shared" si="8"/>
        <v>52.300000000000004</v>
      </c>
      <c r="E16">
        <f t="shared" si="8"/>
        <v>32</v>
      </c>
      <c r="F16">
        <f t="shared" si="8"/>
        <v>40.300000000000004</v>
      </c>
      <c r="G16">
        <f t="shared" ref="G16" si="9">ROUND(G6,3) * 100</f>
        <v>64</v>
      </c>
    </row>
    <row r="17" spans="1:7" x14ac:dyDescent="0.2">
      <c r="A17" t="s">
        <v>10</v>
      </c>
      <c r="B17" t="s">
        <v>8</v>
      </c>
      <c r="C17">
        <f t="shared" ref="C17:E17" si="10">ROUND(C7,3) * 100</f>
        <v>47.599999999999994</v>
      </c>
      <c r="D17">
        <f t="shared" si="10"/>
        <v>47.699999999999996</v>
      </c>
      <c r="E17">
        <f t="shared" si="10"/>
        <v>42.5</v>
      </c>
      <c r="F17">
        <f>ROUND(F7,3) * 100</f>
        <v>36</v>
      </c>
      <c r="G17">
        <f t="shared" ref="G17:G19" si="11">ROUND(G7,3) * 100</f>
        <v>59.699999999999996</v>
      </c>
    </row>
    <row r="18" spans="1:7" x14ac:dyDescent="0.2">
      <c r="A18" t="s">
        <v>11</v>
      </c>
      <c r="B18" t="s">
        <v>7</v>
      </c>
      <c r="C18">
        <f t="shared" ref="C18:F18" si="12">ROUND(C8,3) * 100</f>
        <v>65.400000000000006</v>
      </c>
      <c r="D18">
        <f t="shared" si="12"/>
        <v>64.900000000000006</v>
      </c>
      <c r="E18">
        <f t="shared" si="12"/>
        <v>64.3</v>
      </c>
      <c r="F18">
        <f t="shared" si="12"/>
        <v>47.8</v>
      </c>
      <c r="G18">
        <f t="shared" si="11"/>
        <v>77.2</v>
      </c>
    </row>
    <row r="19" spans="1:7" x14ac:dyDescent="0.2">
      <c r="A19" t="s">
        <v>11</v>
      </c>
      <c r="B19" t="s">
        <v>8</v>
      </c>
      <c r="C19">
        <f t="shared" ref="C19:F19" si="13">ROUND(C9,3) * 100</f>
        <v>34.599999999999994</v>
      </c>
      <c r="D19">
        <f t="shared" si="13"/>
        <v>35.099999999999994</v>
      </c>
      <c r="E19">
        <f t="shared" si="13"/>
        <v>20.5</v>
      </c>
      <c r="F19">
        <f t="shared" si="13"/>
        <v>22.8</v>
      </c>
      <c r="G19">
        <f t="shared" si="11"/>
        <v>52.2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ED3E1-5296-B741-8651-68C5F868DA8A}">
  <dimension ref="A1:G9"/>
  <sheetViews>
    <sheetView workbookViewId="0">
      <selection activeCell="E20" sqref="E20"/>
    </sheetView>
  </sheetViews>
  <sheetFormatPr baseColWidth="10" defaultRowHeight="16" x14ac:dyDescent="0.2"/>
  <cols>
    <col min="1" max="1" width="16.33203125" customWidth="1"/>
    <col min="2" max="2" width="13.6640625" customWidth="1"/>
  </cols>
  <sheetData>
    <row r="1" spans="1:7" x14ac:dyDescent="0.2">
      <c r="A1" t="s">
        <v>0</v>
      </c>
      <c r="B1" t="s">
        <v>12</v>
      </c>
      <c r="C1" s="1" t="s">
        <v>15</v>
      </c>
      <c r="D1" s="1" t="s">
        <v>14</v>
      </c>
      <c r="E1" s="1" t="s">
        <v>13</v>
      </c>
      <c r="F1" s="1" t="s">
        <v>16</v>
      </c>
      <c r="G1" s="1" t="s">
        <v>17</v>
      </c>
    </row>
    <row r="2" spans="1:7" x14ac:dyDescent="0.2">
      <c r="A2" t="s">
        <v>10</v>
      </c>
      <c r="B2" t="s">
        <v>7</v>
      </c>
      <c r="C2" s="1">
        <v>52.400000000000006</v>
      </c>
      <c r="D2" s="1">
        <v>52.300000000000004</v>
      </c>
      <c r="E2" s="1">
        <v>32</v>
      </c>
      <c r="F2" s="1">
        <v>40.300000000000004</v>
      </c>
      <c r="G2" s="1">
        <v>64</v>
      </c>
    </row>
    <row r="3" spans="1:7" x14ac:dyDescent="0.2">
      <c r="A3" t="s">
        <v>10</v>
      </c>
      <c r="B3" t="s">
        <v>8</v>
      </c>
      <c r="C3" s="1">
        <v>47.599999999999994</v>
      </c>
      <c r="D3" s="1">
        <v>47.699999999999996</v>
      </c>
      <c r="E3" s="1">
        <v>42.5</v>
      </c>
      <c r="F3" s="1">
        <v>36</v>
      </c>
      <c r="G3" s="1">
        <v>59.699999999999996</v>
      </c>
    </row>
    <row r="4" spans="1:7" x14ac:dyDescent="0.2">
      <c r="A4" t="s">
        <v>6</v>
      </c>
      <c r="B4" t="s">
        <v>7</v>
      </c>
      <c r="C4" s="1">
        <v>61.199999999999996</v>
      </c>
      <c r="D4" s="1">
        <v>61.199999999999996</v>
      </c>
      <c r="E4" s="1">
        <v>58.199999999999996</v>
      </c>
      <c r="F4" s="1">
        <v>49.3</v>
      </c>
      <c r="G4" s="1">
        <v>72.8</v>
      </c>
    </row>
    <row r="5" spans="1:7" x14ac:dyDescent="0.2">
      <c r="A5" t="s">
        <v>6</v>
      </c>
      <c r="B5" t="s">
        <v>8</v>
      </c>
      <c r="C5" s="1">
        <v>38.800000000000004</v>
      </c>
      <c r="D5" s="1">
        <v>38.800000000000004</v>
      </c>
      <c r="E5" s="1">
        <v>29.099999999999998</v>
      </c>
      <c r="F5" s="1">
        <v>27.200000000000003</v>
      </c>
      <c r="G5" s="1">
        <v>50.7</v>
      </c>
    </row>
    <row r="6" spans="1:7" x14ac:dyDescent="0.2">
      <c r="A6" t="s">
        <v>11</v>
      </c>
      <c r="B6" t="s">
        <v>7</v>
      </c>
      <c r="C6" s="1">
        <v>65.400000000000006</v>
      </c>
      <c r="D6" s="1">
        <v>64.900000000000006</v>
      </c>
      <c r="E6" s="1">
        <v>64.3</v>
      </c>
      <c r="F6" s="1">
        <v>47.8</v>
      </c>
      <c r="G6" s="1">
        <v>77.2</v>
      </c>
    </row>
    <row r="7" spans="1:7" x14ac:dyDescent="0.2">
      <c r="A7" t="s">
        <v>11</v>
      </c>
      <c r="B7" t="s">
        <v>8</v>
      </c>
      <c r="C7" s="1">
        <v>34.599999999999994</v>
      </c>
      <c r="D7" s="1">
        <v>35.099999999999994</v>
      </c>
      <c r="E7" s="1">
        <v>20.5</v>
      </c>
      <c r="F7" s="1">
        <v>22.8</v>
      </c>
      <c r="G7" s="1">
        <v>52.2</v>
      </c>
    </row>
    <row r="8" spans="1:7" x14ac:dyDescent="0.2">
      <c r="A8" t="s">
        <v>9</v>
      </c>
      <c r="B8" t="s">
        <v>7</v>
      </c>
      <c r="C8" s="1">
        <v>56.100000000000009</v>
      </c>
      <c r="D8" s="1">
        <v>55.400000000000006</v>
      </c>
      <c r="E8" s="1">
        <v>48.8</v>
      </c>
      <c r="F8" s="1">
        <v>31.4</v>
      </c>
      <c r="G8" s="1">
        <v>77</v>
      </c>
    </row>
    <row r="9" spans="1:7" x14ac:dyDescent="0.2">
      <c r="A9" t="s">
        <v>9</v>
      </c>
      <c r="B9" t="s">
        <v>8</v>
      </c>
      <c r="C9" s="1">
        <v>43.9</v>
      </c>
      <c r="D9" s="1">
        <v>44.6</v>
      </c>
      <c r="E9" s="1">
        <v>52.7</v>
      </c>
      <c r="F9" s="1">
        <v>23</v>
      </c>
      <c r="G9" s="1">
        <v>68.600000000000009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tet_spsum_new</vt:lpstr>
      <vt:lpstr>per_sum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Collins Ogbeide</dc:creator>
  <cp:lastModifiedBy>Collins Ogbeide</cp:lastModifiedBy>
  <dcterms:created xsi:type="dcterms:W3CDTF">2025-05-19T06:57:24Z</dcterms:created>
  <dcterms:modified xsi:type="dcterms:W3CDTF">2025-05-30T08:26:17Z</dcterms:modified>
</cp:coreProperties>
</file>