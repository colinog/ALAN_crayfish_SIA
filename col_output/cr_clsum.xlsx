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col_output/"/>
    </mc:Choice>
  </mc:AlternateContent>
  <xr:revisionPtr revIDLastSave="0" documentId="13_ncr:1_{7BF78F96-A3F7-564E-8CB9-42553EAA0DB4}" xr6:coauthVersionLast="47" xr6:coauthVersionMax="47" xr10:uidLastSave="{00000000-0000-0000-0000-000000000000}"/>
  <bookViews>
    <workbookView xWindow="15620" yWindow="1160" windowWidth="14620" windowHeight="17440" xr2:uid="{E95F65B1-4698-B943-B157-851F37E80889}"/>
  </bookViews>
  <sheets>
    <sheet name="cr_clsu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D21" i="1"/>
  <c r="E21" i="1"/>
  <c r="F21" i="1"/>
  <c r="C21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C11" i="1"/>
  <c r="C12" i="1"/>
  <c r="C13" i="1"/>
  <c r="C14" i="1"/>
  <c r="C15" i="1"/>
  <c r="C10" i="1"/>
</calcChain>
</file>

<file path=xl/sharedStrings.xml><?xml version="1.0" encoding="utf-8"?>
<sst xmlns="http://schemas.openxmlformats.org/spreadsheetml/2006/main" count="36" uniqueCount="11">
  <si>
    <t>Treatment</t>
  </si>
  <si>
    <t>map_value</t>
  </si>
  <si>
    <t>hdi_lower</t>
  </si>
  <si>
    <t>hdi_upper</t>
  </si>
  <si>
    <t>m_value</t>
  </si>
  <si>
    <t>ALAN + Crayfish</t>
  </si>
  <si>
    <t>Ephemeroptera</t>
  </si>
  <si>
    <t>Simuliidae</t>
  </si>
  <si>
    <t>Crayfish</t>
  </si>
  <si>
    <t>Taxa</t>
  </si>
  <si>
    <t>Chironomidae + Gammaridae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</si>
</sst>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F338-8506-9746-9DC9-736FAD45024C}">
  <dimension ref="A1:F26"/>
  <sheetViews>
    <sheetView tabSelected="1" workbookViewId="0">
      <selection activeCell="C13" sqref="C13"/>
    </sheetView>
  </sheetViews>
  <sheetFormatPr baseColWidth="10" defaultRowHeight="16" x14ac:dyDescent="0.2"/>
  <cols>
    <col min="1" max="1" width="15.1640625" customWidth="1"/>
    <col min="2" max="2" width="26.5" customWidth="1"/>
    <col min="3" max="3" width="13.83203125" customWidth="1"/>
    <col min="4" max="4" width="12.5" customWidth="1"/>
    <col min="5" max="5" width="10.83203125" customWidth="1"/>
    <col min="7" max="7" width="10.83203125" customWidth="1"/>
  </cols>
  <sheetData>
    <row r="1" spans="1:6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10</v>
      </c>
      <c r="C2">
        <v>0.60577216170696402</v>
      </c>
      <c r="D2">
        <v>0.354371022436057</v>
      </c>
      <c r="E2">
        <v>0.89719622395800902</v>
      </c>
      <c r="F2">
        <v>0.72565088945432699</v>
      </c>
    </row>
    <row r="3" spans="1:6" x14ac:dyDescent="0.2">
      <c r="A3" t="s">
        <v>5</v>
      </c>
      <c r="B3" t="s">
        <v>6</v>
      </c>
      <c r="C3">
        <v>0.15036625550869001</v>
      </c>
      <c r="D3">
        <v>8.9014386624028698E-3</v>
      </c>
      <c r="E3">
        <v>0.50350343579939105</v>
      </c>
      <c r="F3">
        <v>0.113297392717711</v>
      </c>
    </row>
    <row r="4" spans="1:6" x14ac:dyDescent="0.2">
      <c r="A4" t="s">
        <v>5</v>
      </c>
      <c r="B4" t="s">
        <v>7</v>
      </c>
      <c r="C4">
        <v>9.5847585166439504E-3</v>
      </c>
      <c r="D4">
        <v>1.47672221868425E-2</v>
      </c>
      <c r="E4">
        <v>0.37011251235452602</v>
      </c>
      <c r="F4">
        <v>0.13836847856137</v>
      </c>
    </row>
    <row r="5" spans="1:6" x14ac:dyDescent="0.2">
      <c r="A5" t="s">
        <v>8</v>
      </c>
      <c r="B5" t="s">
        <v>10</v>
      </c>
      <c r="C5">
        <v>0.64749001585673804</v>
      </c>
      <c r="D5">
        <v>0.433356454614305</v>
      </c>
      <c r="E5">
        <v>0.74388487736554998</v>
      </c>
      <c r="F5">
        <v>0.57503693802127998</v>
      </c>
    </row>
    <row r="6" spans="1:6" x14ac:dyDescent="0.2">
      <c r="A6" t="s">
        <v>8</v>
      </c>
      <c r="B6" t="s">
        <v>6</v>
      </c>
      <c r="C6">
        <v>0.20940881712797499</v>
      </c>
      <c r="D6">
        <v>1.29307939697748E-2</v>
      </c>
      <c r="E6">
        <v>0.227751348690965</v>
      </c>
      <c r="F6">
        <v>0.121877774223699</v>
      </c>
    </row>
    <row r="7" spans="1:6" x14ac:dyDescent="0.2">
      <c r="A7" t="s">
        <v>8</v>
      </c>
      <c r="B7" t="s">
        <v>7</v>
      </c>
      <c r="C7">
        <v>0.29208637552758598</v>
      </c>
      <c r="D7">
        <v>0.19279059885402999</v>
      </c>
      <c r="E7">
        <v>0.41100856137855302</v>
      </c>
      <c r="F7">
        <v>0.30506490452766899</v>
      </c>
    </row>
    <row r="10" spans="1:6" x14ac:dyDescent="0.2">
      <c r="C10">
        <f t="shared" ref="C10:C15" si="0">C2 * 100</f>
        <v>60.577216170696403</v>
      </c>
      <c r="D10">
        <f t="shared" ref="D10:F10" si="1">D2 * 100</f>
        <v>35.4371022436057</v>
      </c>
      <c r="E10">
        <f t="shared" si="1"/>
        <v>89.719622395800897</v>
      </c>
      <c r="F10">
        <f t="shared" si="1"/>
        <v>72.565088945432706</v>
      </c>
    </row>
    <row r="11" spans="1:6" x14ac:dyDescent="0.2">
      <c r="C11">
        <f t="shared" si="0"/>
        <v>15.036625550869001</v>
      </c>
      <c r="D11">
        <f t="shared" ref="D11:F15" si="2">D3 * 100</f>
        <v>0.89014386624028696</v>
      </c>
      <c r="E11">
        <f t="shared" si="2"/>
        <v>50.350343579939107</v>
      </c>
      <c r="F11">
        <f t="shared" si="2"/>
        <v>11.3297392717711</v>
      </c>
    </row>
    <row r="12" spans="1:6" x14ac:dyDescent="0.2">
      <c r="C12">
        <f t="shared" si="0"/>
        <v>0.95847585166439508</v>
      </c>
      <c r="D12">
        <f t="shared" si="2"/>
        <v>1.4767222186842499</v>
      </c>
      <c r="E12">
        <f t="shared" si="2"/>
        <v>37.011251235452605</v>
      </c>
      <c r="F12">
        <f t="shared" si="2"/>
        <v>13.836847856137</v>
      </c>
    </row>
    <row r="13" spans="1:6" x14ac:dyDescent="0.2">
      <c r="C13">
        <f t="shared" si="0"/>
        <v>64.74900158567381</v>
      </c>
      <c r="D13">
        <f t="shared" si="2"/>
        <v>43.335645461430502</v>
      </c>
      <c r="E13">
        <f t="shared" si="2"/>
        <v>74.388487736554993</v>
      </c>
      <c r="F13">
        <f t="shared" si="2"/>
        <v>57.503693802127998</v>
      </c>
    </row>
    <row r="14" spans="1:6" x14ac:dyDescent="0.2">
      <c r="C14">
        <f t="shared" si="0"/>
        <v>20.940881712797498</v>
      </c>
      <c r="D14">
        <f t="shared" si="2"/>
        <v>1.2930793969774801</v>
      </c>
      <c r="E14">
        <f t="shared" si="2"/>
        <v>22.775134869096501</v>
      </c>
      <c r="F14">
        <f t="shared" si="2"/>
        <v>12.1877774223699</v>
      </c>
    </row>
    <row r="15" spans="1:6" x14ac:dyDescent="0.2">
      <c r="C15">
        <f t="shared" si="0"/>
        <v>29.208637552758599</v>
      </c>
      <c r="D15">
        <f t="shared" si="2"/>
        <v>19.279059885403001</v>
      </c>
      <c r="E15">
        <f t="shared" si="2"/>
        <v>41.100856137855303</v>
      </c>
      <c r="F15">
        <f t="shared" si="2"/>
        <v>30.506490452766897</v>
      </c>
    </row>
    <row r="20" spans="1:6" x14ac:dyDescent="0.2">
      <c r="A20" t="s">
        <v>0</v>
      </c>
      <c r="B20" t="s">
        <v>9</v>
      </c>
      <c r="C20" s="1" t="s">
        <v>1</v>
      </c>
      <c r="D20" s="1" t="s">
        <v>2</v>
      </c>
      <c r="E20" s="1" t="s">
        <v>3</v>
      </c>
      <c r="F20" s="1" t="s">
        <v>4</v>
      </c>
    </row>
    <row r="21" spans="1:6" x14ac:dyDescent="0.2">
      <c r="A21" t="s">
        <v>5</v>
      </c>
      <c r="B21" t="s">
        <v>10</v>
      </c>
      <c r="C21">
        <f>ROUND(C10,2)</f>
        <v>60.58</v>
      </c>
      <c r="D21">
        <f t="shared" ref="D21:F21" si="3">ROUND(D10,2)</f>
        <v>35.44</v>
      </c>
      <c r="E21">
        <f t="shared" si="3"/>
        <v>89.72</v>
      </c>
      <c r="F21">
        <f t="shared" si="3"/>
        <v>72.569999999999993</v>
      </c>
    </row>
    <row r="22" spans="1:6" x14ac:dyDescent="0.2">
      <c r="A22" t="s">
        <v>5</v>
      </c>
      <c r="B22" t="s">
        <v>6</v>
      </c>
      <c r="C22">
        <f t="shared" ref="C22:F22" si="4">ROUND(C11,2)</f>
        <v>15.04</v>
      </c>
      <c r="D22">
        <f t="shared" si="4"/>
        <v>0.89</v>
      </c>
      <c r="E22">
        <f t="shared" si="4"/>
        <v>50.35</v>
      </c>
      <c r="F22">
        <f t="shared" si="4"/>
        <v>11.33</v>
      </c>
    </row>
    <row r="23" spans="1:6" x14ac:dyDescent="0.2">
      <c r="A23" t="s">
        <v>5</v>
      </c>
      <c r="B23" t="s">
        <v>7</v>
      </c>
      <c r="C23">
        <f t="shared" ref="C23:F23" si="5">ROUND(C12,2)</f>
        <v>0.96</v>
      </c>
      <c r="D23">
        <f t="shared" si="5"/>
        <v>1.48</v>
      </c>
      <c r="E23">
        <f t="shared" si="5"/>
        <v>37.01</v>
      </c>
      <c r="F23">
        <f t="shared" si="5"/>
        <v>13.84</v>
      </c>
    </row>
    <row r="24" spans="1:6" x14ac:dyDescent="0.2">
      <c r="A24" t="s">
        <v>8</v>
      </c>
      <c r="B24" t="s">
        <v>10</v>
      </c>
      <c r="C24">
        <f t="shared" ref="C24:F24" si="6">ROUND(C13,2)</f>
        <v>64.75</v>
      </c>
      <c r="D24">
        <f t="shared" si="6"/>
        <v>43.34</v>
      </c>
      <c r="E24">
        <f t="shared" si="6"/>
        <v>74.39</v>
      </c>
      <c r="F24">
        <f t="shared" si="6"/>
        <v>57.5</v>
      </c>
    </row>
    <row r="25" spans="1:6" x14ac:dyDescent="0.2">
      <c r="A25" t="s">
        <v>8</v>
      </c>
      <c r="B25" t="s">
        <v>6</v>
      </c>
      <c r="C25">
        <f t="shared" ref="C25:F25" si="7">ROUND(C14,2)</f>
        <v>20.94</v>
      </c>
      <c r="D25">
        <f t="shared" si="7"/>
        <v>1.29</v>
      </c>
      <c r="E25">
        <f t="shared" si="7"/>
        <v>22.78</v>
      </c>
      <c r="F25">
        <f t="shared" si="7"/>
        <v>12.19</v>
      </c>
    </row>
    <row r="26" spans="1:6" x14ac:dyDescent="0.2">
      <c r="A26" t="s">
        <v>8</v>
      </c>
      <c r="B26" t="s">
        <v>7</v>
      </c>
      <c r="C26">
        <f t="shared" ref="C26:F26" si="8">ROUND(C15,2)</f>
        <v>29.21</v>
      </c>
      <c r="D26">
        <f t="shared" si="8"/>
        <v>19.28</v>
      </c>
      <c r="E26">
        <f t="shared" si="8"/>
        <v>41.1</v>
      </c>
      <c r="F26">
        <f t="shared" si="8"/>
        <v>30.51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D4EE-178D-4647-BA23-C544C2C98F3E}">
  <dimension ref="A1"/>
  <sheetViews>
    <sheetView workbookViewId="0">
      <selection activeCell="D30" sqref="D30:H3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cr_clsum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Ogbeide</dc:creator>
  <cp:lastModifiedBy>Collins Ogbeide</cp:lastModifiedBy>
  <dcterms:created xsi:type="dcterms:W3CDTF">2025-04-30T07:41:41Z</dcterms:created>
  <dcterms:modified xsi:type="dcterms:W3CDTF">2025-05-30T08:26:30Z</dcterms:modified>
</cp:coreProperties>
</file>