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s/Documents/RSM2022_SIA/RSM-Stable-Isotopes-3/col_output/"/>
    </mc:Choice>
  </mc:AlternateContent>
  <xr:revisionPtr revIDLastSave="0" documentId="13_ncr:1_{0BEDC5B9-EE7F-4649-BDFF-8D3728AE8EA7}" xr6:coauthVersionLast="47" xr6:coauthVersionMax="47" xr10:uidLastSave="{00000000-0000-0000-0000-000000000000}"/>
  <bookViews>
    <workbookView xWindow="17000" yWindow="1140" windowWidth="12140" windowHeight="17440" xr2:uid="{487C4EBC-886E-B448-A231-CA983C01398F}"/>
  </bookViews>
  <sheets>
    <sheet name="tet_spsum" sheetId="1" r:id="rId1"/>
    <sheet name="Sheet1" sheetId="2" r:id="rId2"/>
    <sheet name="Tet_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6" i="2"/>
  <c r="L7" i="2"/>
  <c r="L8" i="2"/>
  <c r="L9" i="2"/>
  <c r="L10" i="2"/>
  <c r="L11" i="2"/>
  <c r="L4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H8" i="2"/>
  <c r="H9" i="2"/>
  <c r="H10" i="2"/>
  <c r="H11" i="2"/>
  <c r="H4" i="2"/>
  <c r="H5" i="2"/>
  <c r="H6" i="2"/>
  <c r="H7" i="2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<sst xmlns="http://schemas.openxmlformats.org/spreadsheetml/2006/main" count="103" uniqueCount="26">
  <si>
    <t>Treatment</t>
  </si>
  <si>
    <t>hdi_upper</t>
  </si>
  <si>
    <t>ALAN</t>
  </si>
  <si>
    <t>Aquatic</t>
  </si>
  <si>
    <t>Terrestrial</t>
  </si>
  <si>
    <t>ALAN + Crayfish</t>
  </si>
  <si>
    <t>Control</t>
  </si>
  <si>
    <t>Crayfish</t>
  </si>
  <si>
    <t>Habitat</t>
  </si>
  <si>
    <t>95% Credible interval</t>
  </si>
  <si>
    <t>Median (%)</t>
  </si>
  <si>
    <t>*MAP (%)</t>
  </si>
  <si>
    <t>*Maximum a posteriori estimate</t>
  </si>
  <si>
    <t>*hdi_lower</t>
  </si>
  <si>
    <t>*hdi_upper</t>
  </si>
  <si>
    <t>*Highest Density Interval (HDI)</t>
  </si>
  <si>
    <t>0.5 – 0.73</t>
  </si>
  <si>
    <t>0.28 – 0.51</t>
  </si>
  <si>
    <t>0.32 – 0.77</t>
  </si>
  <si>
    <t>0.24 – 0.69</t>
  </si>
  <si>
    <t>0.41 – 0.65</t>
  </si>
  <si>
    <t>0.36 – 0.6</t>
  </si>
  <si>
    <t>0.48 – 0.78</t>
  </si>
  <si>
    <t>0.23 – 0.53</t>
  </si>
  <si>
    <t>95% Credible interval (Upper – Lower)</t>
  </si>
  <si>
    <t>Mean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</si>
</sst>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BECE-186A-9C4D-B672-F1BBBE8F3304}">
  <dimension ref="A1:G19"/>
  <sheetViews>
    <sheetView tabSelected="1" workbookViewId="0">
      <selection activeCell="A27" sqref="A27"/>
    </sheetView>
  </sheetViews>
  <sheetFormatPr baseColWidth="10" defaultRowHeight="16" x14ac:dyDescent="0.2"/>
  <cols>
    <col min="1" max="1" width="21" customWidth="1"/>
    <col min="3" max="3" width="8" customWidth="1"/>
    <col min="4" max="4" width="19.1640625" customWidth="1"/>
    <col min="5" max="5" width="10.83203125" customWidth="1"/>
  </cols>
  <sheetData>
    <row r="1" spans="1:7" x14ac:dyDescent="0.2">
      <c r="A1" s="1" t="s">
        <v>0</v>
      </c>
      <c r="B1" s="1" t="s">
        <v>8</v>
      </c>
      <c r="C1" s="1" t="s">
        <v>11</v>
      </c>
      <c r="D1" s="1" t="s">
        <v>9</v>
      </c>
      <c r="E1" s="1" t="s">
        <v>1</v>
      </c>
      <c r="F1" s="1" t="s">
        <v>10</v>
      </c>
      <c r="G1" s="1"/>
    </row>
    <row r="2" spans="1:7" x14ac:dyDescent="0.2">
      <c r="A2" s="1" t="s">
        <v>2</v>
      </c>
      <c r="B2" s="1" t="s">
        <v>3</v>
      </c>
      <c r="C2" s="2">
        <v>0.58171554089600896</v>
      </c>
      <c r="D2" s="2">
        <v>0.49275837827309099</v>
      </c>
      <c r="E2" s="2">
        <v>0.72775261901963595</v>
      </c>
      <c r="F2" s="2">
        <v>0.61167127986055303</v>
      </c>
      <c r="G2" s="1"/>
    </row>
    <row r="3" spans="1:7" x14ac:dyDescent="0.2">
      <c r="A3" s="1" t="s">
        <v>2</v>
      </c>
      <c r="B3" s="1" t="s">
        <v>4</v>
      </c>
      <c r="C3" s="2">
        <v>0.29129088365988398</v>
      </c>
      <c r="D3" s="2">
        <v>0.272247380980364</v>
      </c>
      <c r="E3" s="2">
        <v>0.50724162172690801</v>
      </c>
      <c r="F3" s="2">
        <v>0.38832872013944703</v>
      </c>
      <c r="G3" s="1"/>
    </row>
    <row r="4" spans="1:7" x14ac:dyDescent="0.2">
      <c r="A4" s="1" t="s">
        <v>5</v>
      </c>
      <c r="B4" s="1" t="s">
        <v>3</v>
      </c>
      <c r="C4" s="2">
        <v>0.48795162040262302</v>
      </c>
      <c r="D4" s="2">
        <v>0.31402878191179001</v>
      </c>
      <c r="E4" s="2">
        <v>0.76984455026705001</v>
      </c>
      <c r="F4" s="2">
        <v>0.56125399324320702</v>
      </c>
      <c r="G4" s="1"/>
    </row>
    <row r="5" spans="1:7" x14ac:dyDescent="0.2">
      <c r="A5" s="1" t="s">
        <v>5</v>
      </c>
      <c r="B5" s="1" t="s">
        <v>4</v>
      </c>
      <c r="C5" s="2">
        <v>0.52747118792695702</v>
      </c>
      <c r="D5" s="2">
        <v>0.23015544973294999</v>
      </c>
      <c r="E5" s="2">
        <v>0.68597121808821004</v>
      </c>
      <c r="F5" s="2">
        <v>0.43874600675679298</v>
      </c>
      <c r="G5" s="1"/>
    </row>
    <row r="6" spans="1:7" x14ac:dyDescent="0.2">
      <c r="A6" s="1" t="s">
        <v>6</v>
      </c>
      <c r="B6" s="1" t="s">
        <v>3</v>
      </c>
      <c r="C6" s="2">
        <v>0.31952450152687201</v>
      </c>
      <c r="D6" s="2">
        <v>0.40279607784862898</v>
      </c>
      <c r="E6" s="2">
        <v>0.64008064139270404</v>
      </c>
      <c r="F6" s="2">
        <v>0.52425330956439697</v>
      </c>
      <c r="G6" s="1"/>
    </row>
    <row r="7" spans="1:7" x14ac:dyDescent="0.2">
      <c r="A7" s="1" t="s">
        <v>6</v>
      </c>
      <c r="B7" s="1" t="s">
        <v>4</v>
      </c>
      <c r="C7" s="2">
        <v>0.42472325975777597</v>
      </c>
      <c r="D7" s="2">
        <v>0.35991935860729601</v>
      </c>
      <c r="E7" s="2">
        <v>0.59720392215137097</v>
      </c>
      <c r="F7" s="2">
        <v>0.47574669043560303</v>
      </c>
      <c r="G7" s="1"/>
    </row>
    <row r="8" spans="1:7" x14ac:dyDescent="0.2">
      <c r="A8" s="1" t="s">
        <v>7</v>
      </c>
      <c r="B8" s="1" t="s">
        <v>3</v>
      </c>
      <c r="C8" s="2">
        <v>0.64296186282902101</v>
      </c>
      <c r="D8" s="2">
        <v>0.47758504879336899</v>
      </c>
      <c r="E8" s="2">
        <v>0.77232973113756398</v>
      </c>
      <c r="F8" s="2">
        <v>0.65371855539861701</v>
      </c>
      <c r="G8" s="1"/>
    </row>
    <row r="9" spans="1:7" x14ac:dyDescent="0.2">
      <c r="A9" s="1" t="s">
        <v>7</v>
      </c>
      <c r="B9" s="1" t="s">
        <v>4</v>
      </c>
      <c r="C9" s="2">
        <v>0.20491375313402399</v>
      </c>
      <c r="D9" s="2">
        <v>0.22767026886243599</v>
      </c>
      <c r="E9" s="2">
        <v>0.52241495120663095</v>
      </c>
      <c r="F9" s="2">
        <v>0.34628144460138299</v>
      </c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t="s">
        <v>12</v>
      </c>
    </row>
    <row r="12" spans="1:7" x14ac:dyDescent="0.2">
      <c r="D12" s="3"/>
      <c r="E12" s="3"/>
      <c r="F12" s="3"/>
    </row>
    <row r="13" spans="1:7" x14ac:dyDescent="0.2">
      <c r="D13" s="3"/>
      <c r="E13" s="3"/>
      <c r="F13" s="3"/>
    </row>
    <row r="14" spans="1:7" x14ac:dyDescent="0.2">
      <c r="D14" s="3"/>
      <c r="E14" s="3"/>
      <c r="F14" s="3"/>
    </row>
    <row r="15" spans="1:7" x14ac:dyDescent="0.2">
      <c r="D15" s="3"/>
      <c r="E15" s="3"/>
      <c r="F15" s="3"/>
    </row>
    <row r="16" spans="1:7" x14ac:dyDescent="0.2">
      <c r="D16" s="3"/>
      <c r="E16" s="3"/>
      <c r="F16" s="3"/>
    </row>
    <row r="17" spans="4:6" x14ac:dyDescent="0.2">
      <c r="D17" s="3"/>
      <c r="E17" s="3"/>
      <c r="F17" s="3"/>
    </row>
    <row r="18" spans="4:6" x14ac:dyDescent="0.2">
      <c r="D18" s="3"/>
      <c r="E18" s="3"/>
      <c r="F18" s="3"/>
    </row>
    <row r="19" spans="4:6" x14ac:dyDescent="0.2">
      <c r="D19" s="3"/>
      <c r="E19" s="3"/>
      <c r="F1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AD9B-29C8-A54D-8355-70D28E4354FE}">
  <dimension ref="A3:L13"/>
  <sheetViews>
    <sheetView workbookViewId="0">
      <selection activeCell="D4" sqref="D4"/>
    </sheetView>
  </sheetViews>
  <sheetFormatPr baseColWidth="10" defaultRowHeight="16" x14ac:dyDescent="0.2"/>
  <cols>
    <col min="1" max="1" width="15" customWidth="1"/>
    <col min="4" max="4" width="16.83203125" customWidth="1"/>
    <col min="12" max="12" width="19" customWidth="1"/>
  </cols>
  <sheetData>
    <row r="3" spans="1:12" x14ac:dyDescent="0.2">
      <c r="A3" t="s">
        <v>0</v>
      </c>
      <c r="B3" t="s">
        <v>8</v>
      </c>
      <c r="C3" t="s">
        <v>11</v>
      </c>
      <c r="D3" t="s">
        <v>9</v>
      </c>
      <c r="E3" t="s">
        <v>1</v>
      </c>
      <c r="F3" t="s">
        <v>10</v>
      </c>
    </row>
    <row r="4" spans="1:12" x14ac:dyDescent="0.2">
      <c r="A4" t="s">
        <v>2</v>
      </c>
      <c r="B4" t="s">
        <v>3</v>
      </c>
      <c r="C4" s="3">
        <v>0.58171554089600896</v>
      </c>
      <c r="D4">
        <v>0.49275837827309099</v>
      </c>
      <c r="E4">
        <v>0.72775261901963595</v>
      </c>
      <c r="F4">
        <v>0.61167127986055303</v>
      </c>
      <c r="H4" s="3">
        <f t="shared" ref="H4:H6" si="0">ROUNDUP(C4,2)</f>
        <v>0.59</v>
      </c>
      <c r="I4" s="3">
        <f t="shared" ref="I4:I11" si="1">ROUNDUP(D4,2)</f>
        <v>0.5</v>
      </c>
      <c r="J4" s="3">
        <f t="shared" ref="J4:J11" si="2">ROUNDUP(E4,2)</f>
        <v>0.73</v>
      </c>
      <c r="K4" s="3">
        <f t="shared" ref="K4:K11" si="3">ROUNDUP(F4,2)</f>
        <v>0.62</v>
      </c>
      <c r="L4" s="3" t="str">
        <f>ROUNDUP(I4, 3) &amp; " – " &amp; ROUNDUP(J4, 3)</f>
        <v>0.5 – 0.73</v>
      </c>
    </row>
    <row r="5" spans="1:12" x14ac:dyDescent="0.2">
      <c r="A5" t="s">
        <v>2</v>
      </c>
      <c r="B5" t="s">
        <v>4</v>
      </c>
      <c r="C5" s="3">
        <v>0.29129088365988398</v>
      </c>
      <c r="D5">
        <v>0.272247380980364</v>
      </c>
      <c r="E5">
        <v>0.50724162172690801</v>
      </c>
      <c r="F5">
        <v>0.38832872013944703</v>
      </c>
      <c r="H5" s="3">
        <f t="shared" si="0"/>
        <v>0.3</v>
      </c>
      <c r="I5" s="3">
        <f t="shared" si="1"/>
        <v>0.28000000000000003</v>
      </c>
      <c r="J5" s="3">
        <f t="shared" si="2"/>
        <v>0.51</v>
      </c>
      <c r="K5" s="3">
        <f t="shared" si="3"/>
        <v>0.39</v>
      </c>
      <c r="L5" s="3" t="str">
        <f t="shared" ref="L5:L11" si="4">ROUNDUP(I5, 3) &amp; " – " &amp; ROUNDUP(J5, 3)</f>
        <v>0.28 – 0.51</v>
      </c>
    </row>
    <row r="6" spans="1:12" x14ac:dyDescent="0.2">
      <c r="A6" t="s">
        <v>5</v>
      </c>
      <c r="B6" t="s">
        <v>3</v>
      </c>
      <c r="C6" s="3">
        <v>0.48795162040262302</v>
      </c>
      <c r="D6">
        <v>0.31402878191179001</v>
      </c>
      <c r="E6">
        <v>0.76984455026705001</v>
      </c>
      <c r="F6">
        <v>0.56125399324320702</v>
      </c>
      <c r="H6" s="3">
        <f t="shared" si="0"/>
        <v>0.49</v>
      </c>
      <c r="I6" s="3">
        <f t="shared" si="1"/>
        <v>0.32</v>
      </c>
      <c r="J6" s="3">
        <f t="shared" si="2"/>
        <v>0.77</v>
      </c>
      <c r="K6" s="3">
        <f t="shared" si="3"/>
        <v>0.57000000000000006</v>
      </c>
      <c r="L6" s="3" t="str">
        <f t="shared" si="4"/>
        <v>0.32 – 0.77</v>
      </c>
    </row>
    <row r="7" spans="1:12" x14ac:dyDescent="0.2">
      <c r="A7" t="s">
        <v>5</v>
      </c>
      <c r="B7" t="s">
        <v>4</v>
      </c>
      <c r="C7" s="3">
        <v>0.52747118792695702</v>
      </c>
      <c r="D7">
        <v>0.23015544973294999</v>
      </c>
      <c r="E7">
        <v>0.68597121808821004</v>
      </c>
      <c r="F7">
        <v>0.43874600675679298</v>
      </c>
      <c r="H7" s="3">
        <f>ROUNDUP(C7,2)</f>
        <v>0.53</v>
      </c>
      <c r="I7" s="3">
        <f t="shared" si="1"/>
        <v>0.24000000000000002</v>
      </c>
      <c r="J7" s="3">
        <f t="shared" si="2"/>
        <v>0.69000000000000006</v>
      </c>
      <c r="K7" s="3">
        <f t="shared" si="3"/>
        <v>0.44</v>
      </c>
      <c r="L7" s="3" t="str">
        <f t="shared" si="4"/>
        <v>0.24 – 0.69</v>
      </c>
    </row>
    <row r="8" spans="1:12" x14ac:dyDescent="0.2">
      <c r="A8" t="s">
        <v>6</v>
      </c>
      <c r="B8" t="s">
        <v>3</v>
      </c>
      <c r="C8" s="3">
        <v>0.31952450152687201</v>
      </c>
      <c r="D8">
        <v>0.40279607784862898</v>
      </c>
      <c r="E8">
        <v>0.64008064139270404</v>
      </c>
      <c r="F8">
        <v>0.52425330956439697</v>
      </c>
      <c r="H8" s="3">
        <f t="shared" ref="H8:H11" si="5">ROUNDUP(C8,2)</f>
        <v>0.32</v>
      </c>
      <c r="I8" s="3">
        <f t="shared" si="1"/>
        <v>0.41000000000000003</v>
      </c>
      <c r="J8" s="3">
        <f t="shared" si="2"/>
        <v>0.65</v>
      </c>
      <c r="K8" s="3">
        <f t="shared" si="3"/>
        <v>0.53</v>
      </c>
      <c r="L8" s="3" t="str">
        <f t="shared" si="4"/>
        <v>0.41 – 0.65</v>
      </c>
    </row>
    <row r="9" spans="1:12" x14ac:dyDescent="0.2">
      <c r="A9" t="s">
        <v>6</v>
      </c>
      <c r="B9" t="s">
        <v>4</v>
      </c>
      <c r="C9" s="3">
        <v>0.42472325975777597</v>
      </c>
      <c r="D9">
        <v>0.35991935860729601</v>
      </c>
      <c r="E9">
        <v>0.59720392215137097</v>
      </c>
      <c r="F9">
        <v>0.47574669043560303</v>
      </c>
      <c r="H9" s="3">
        <f t="shared" si="5"/>
        <v>0.43</v>
      </c>
      <c r="I9" s="3">
        <f t="shared" si="1"/>
        <v>0.36</v>
      </c>
      <c r="J9" s="3">
        <f t="shared" si="2"/>
        <v>0.6</v>
      </c>
      <c r="K9" s="3">
        <f t="shared" si="3"/>
        <v>0.48</v>
      </c>
      <c r="L9" s="3" t="str">
        <f t="shared" si="4"/>
        <v>0.36 – 0.6</v>
      </c>
    </row>
    <row r="10" spans="1:12" x14ac:dyDescent="0.2">
      <c r="A10" t="s">
        <v>7</v>
      </c>
      <c r="B10" t="s">
        <v>3</v>
      </c>
      <c r="C10" s="3">
        <v>0.64296186282902101</v>
      </c>
      <c r="D10">
        <v>0.47758504879336899</v>
      </c>
      <c r="E10">
        <v>0.77232973113756398</v>
      </c>
      <c r="F10">
        <v>0.65371855539861701</v>
      </c>
      <c r="H10" s="3">
        <f t="shared" si="5"/>
        <v>0.65</v>
      </c>
      <c r="I10" s="3">
        <f t="shared" si="1"/>
        <v>0.48</v>
      </c>
      <c r="J10" s="3">
        <f t="shared" si="2"/>
        <v>0.78</v>
      </c>
      <c r="K10" s="3">
        <f t="shared" si="3"/>
        <v>0.66</v>
      </c>
      <c r="L10" s="3" t="str">
        <f t="shared" si="4"/>
        <v>0.48 – 0.78</v>
      </c>
    </row>
    <row r="11" spans="1:12" x14ac:dyDescent="0.2">
      <c r="A11" t="s">
        <v>7</v>
      </c>
      <c r="B11" t="s">
        <v>4</v>
      </c>
      <c r="C11" s="3">
        <v>0.20491375313402399</v>
      </c>
      <c r="D11">
        <v>0.22767026886243599</v>
      </c>
      <c r="E11">
        <v>0.52241495120663095</v>
      </c>
      <c r="F11">
        <v>0.34628144460138299</v>
      </c>
      <c r="H11" s="3">
        <f t="shared" si="5"/>
        <v>0.21000000000000002</v>
      </c>
      <c r="I11" s="3">
        <f t="shared" si="1"/>
        <v>0.23</v>
      </c>
      <c r="J11" s="3">
        <f t="shared" si="2"/>
        <v>0.53</v>
      </c>
      <c r="K11" s="3">
        <f t="shared" si="3"/>
        <v>0.35000000000000003</v>
      </c>
      <c r="L11" s="3" t="str">
        <f t="shared" si="4"/>
        <v>0.23 – 0.53</v>
      </c>
    </row>
    <row r="13" spans="1:12" x14ac:dyDescent="0.2">
      <c r="A1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E28B-A085-3543-AA61-447A8C68608A}">
  <dimension ref="A1:P12"/>
  <sheetViews>
    <sheetView topLeftCell="I1" workbookViewId="0">
      <selection activeCell="K4" sqref="K4"/>
    </sheetView>
  </sheetViews>
  <sheetFormatPr baseColWidth="10" defaultRowHeight="16" x14ac:dyDescent="0.2"/>
  <cols>
    <col min="1" max="1" width="15.83203125" customWidth="1"/>
    <col min="9" max="9" width="15.1640625" customWidth="1"/>
    <col min="16" max="16" width="21" customWidth="1"/>
  </cols>
  <sheetData>
    <row r="1" spans="1:16" ht="34" x14ac:dyDescent="0.2">
      <c r="A1" s="4" t="s">
        <v>0</v>
      </c>
      <c r="B1" s="4" t="s">
        <v>8</v>
      </c>
      <c r="C1" s="4" t="s">
        <v>11</v>
      </c>
      <c r="D1" s="4" t="s">
        <v>13</v>
      </c>
      <c r="E1" s="4" t="s">
        <v>14</v>
      </c>
      <c r="F1" s="4" t="s">
        <v>10</v>
      </c>
      <c r="G1" s="4" t="s">
        <v>9</v>
      </c>
      <c r="H1" s="4"/>
      <c r="I1" s="4" t="s">
        <v>0</v>
      </c>
      <c r="J1" s="4" t="s">
        <v>8</v>
      </c>
      <c r="K1" s="4" t="s">
        <v>11</v>
      </c>
      <c r="L1" s="4" t="s">
        <v>13</v>
      </c>
      <c r="M1" s="4" t="s">
        <v>14</v>
      </c>
      <c r="N1" s="4" t="s">
        <v>10</v>
      </c>
      <c r="O1" s="4" t="s">
        <v>25</v>
      </c>
      <c r="P1" s="5" t="s">
        <v>24</v>
      </c>
    </row>
    <row r="2" spans="1:16" x14ac:dyDescent="0.2">
      <c r="A2" t="s">
        <v>2</v>
      </c>
      <c r="B2" t="s">
        <v>3</v>
      </c>
      <c r="C2">
        <v>0.57999999999999996</v>
      </c>
      <c r="D2">
        <v>0.49</v>
      </c>
      <c r="E2">
        <v>0.72</v>
      </c>
      <c r="F2">
        <v>0.61</v>
      </c>
      <c r="G2" t="str">
        <f t="shared" ref="G2:G9" si="0">D2 &amp; " – " &amp; E2</f>
        <v>0.49 – 0.72</v>
      </c>
      <c r="I2" t="s">
        <v>2</v>
      </c>
      <c r="J2" t="s">
        <v>3</v>
      </c>
      <c r="K2">
        <v>0.59</v>
      </c>
      <c r="L2">
        <v>0.5</v>
      </c>
      <c r="M2">
        <v>0.73</v>
      </c>
      <c r="N2">
        <v>0.62</v>
      </c>
      <c r="P2" t="s">
        <v>16</v>
      </c>
    </row>
    <row r="3" spans="1:16" x14ac:dyDescent="0.2">
      <c r="A3" t="s">
        <v>2</v>
      </c>
      <c r="B3" t="s">
        <v>4</v>
      </c>
      <c r="C3">
        <v>0.28999999999999998</v>
      </c>
      <c r="D3">
        <v>0.27</v>
      </c>
      <c r="E3">
        <v>0.5</v>
      </c>
      <c r="F3">
        <v>0.38</v>
      </c>
      <c r="G3" t="str">
        <f t="shared" si="0"/>
        <v>0.27 – 0.5</v>
      </c>
      <c r="I3" t="s">
        <v>2</v>
      </c>
      <c r="J3" t="s">
        <v>4</v>
      </c>
      <c r="K3">
        <v>0.3</v>
      </c>
      <c r="L3">
        <v>0.28000000000000003</v>
      </c>
      <c r="M3">
        <v>0.51</v>
      </c>
      <c r="N3">
        <v>0.39</v>
      </c>
      <c r="P3" t="s">
        <v>17</v>
      </c>
    </row>
    <row r="4" spans="1:16" x14ac:dyDescent="0.2">
      <c r="A4" t="s">
        <v>5</v>
      </c>
      <c r="B4" t="s">
        <v>3</v>
      </c>
      <c r="C4">
        <v>0.48</v>
      </c>
      <c r="D4">
        <v>0.31</v>
      </c>
      <c r="E4">
        <v>0.76</v>
      </c>
      <c r="F4">
        <v>0.56000000000000005</v>
      </c>
      <c r="G4" t="str">
        <f t="shared" si="0"/>
        <v>0.31 – 0.76</v>
      </c>
      <c r="I4" t="s">
        <v>5</v>
      </c>
      <c r="J4" t="s">
        <v>3</v>
      </c>
      <c r="K4">
        <v>0.49</v>
      </c>
      <c r="L4">
        <v>0.32</v>
      </c>
      <c r="M4">
        <v>0.77</v>
      </c>
      <c r="N4">
        <v>0.57000000000000006</v>
      </c>
      <c r="P4" t="s">
        <v>18</v>
      </c>
    </row>
    <row r="5" spans="1:16" x14ac:dyDescent="0.2">
      <c r="A5" t="s">
        <v>5</v>
      </c>
      <c r="B5" t="s">
        <v>4</v>
      </c>
      <c r="C5">
        <v>0.52</v>
      </c>
      <c r="D5">
        <v>0.23</v>
      </c>
      <c r="E5">
        <v>0.68</v>
      </c>
      <c r="F5">
        <v>0.43</v>
      </c>
      <c r="G5" t="str">
        <f t="shared" si="0"/>
        <v>0.23 – 0.68</v>
      </c>
      <c r="I5" t="s">
        <v>5</v>
      </c>
      <c r="J5" t="s">
        <v>4</v>
      </c>
      <c r="K5">
        <v>0.53</v>
      </c>
      <c r="L5">
        <v>0.24000000000000002</v>
      </c>
      <c r="M5">
        <v>0.69000000000000006</v>
      </c>
      <c r="N5">
        <v>0.44</v>
      </c>
      <c r="P5" t="s">
        <v>19</v>
      </c>
    </row>
    <row r="6" spans="1:16" x14ac:dyDescent="0.2">
      <c r="A6" t="s">
        <v>6</v>
      </c>
      <c r="B6" t="s">
        <v>3</v>
      </c>
      <c r="C6">
        <v>0.31</v>
      </c>
      <c r="D6">
        <v>0.4</v>
      </c>
      <c r="E6">
        <v>0.64</v>
      </c>
      <c r="F6">
        <v>0.52</v>
      </c>
      <c r="G6" t="str">
        <f t="shared" si="0"/>
        <v>0.4 – 0.64</v>
      </c>
      <c r="I6" t="s">
        <v>6</v>
      </c>
      <c r="J6" t="s">
        <v>3</v>
      </c>
      <c r="K6">
        <v>0.32</v>
      </c>
      <c r="L6">
        <v>0.41000000000000003</v>
      </c>
      <c r="M6">
        <v>0.65</v>
      </c>
      <c r="N6">
        <v>0.53</v>
      </c>
      <c r="P6" t="s">
        <v>20</v>
      </c>
    </row>
    <row r="7" spans="1:16" x14ac:dyDescent="0.2">
      <c r="A7" t="s">
        <v>6</v>
      </c>
      <c r="B7" t="s">
        <v>4</v>
      </c>
      <c r="C7">
        <v>0.42</v>
      </c>
      <c r="D7">
        <v>0.35</v>
      </c>
      <c r="E7">
        <v>0.59</v>
      </c>
      <c r="F7">
        <v>0.47</v>
      </c>
      <c r="G7" t="str">
        <f t="shared" si="0"/>
        <v>0.35 – 0.59</v>
      </c>
      <c r="I7" t="s">
        <v>6</v>
      </c>
      <c r="J7" t="s">
        <v>4</v>
      </c>
      <c r="K7">
        <v>0.43</v>
      </c>
      <c r="L7">
        <v>0.36</v>
      </c>
      <c r="M7">
        <v>0.6</v>
      </c>
      <c r="N7">
        <v>0.48</v>
      </c>
      <c r="P7" t="s">
        <v>21</v>
      </c>
    </row>
    <row r="8" spans="1:16" x14ac:dyDescent="0.2">
      <c r="A8" t="s">
        <v>7</v>
      </c>
      <c r="B8" t="s">
        <v>3</v>
      </c>
      <c r="C8">
        <v>0.64</v>
      </c>
      <c r="D8">
        <v>0.47</v>
      </c>
      <c r="E8">
        <v>0.77</v>
      </c>
      <c r="F8">
        <v>0.65</v>
      </c>
      <c r="G8" t="str">
        <f t="shared" si="0"/>
        <v>0.47 – 0.77</v>
      </c>
      <c r="I8" t="s">
        <v>7</v>
      </c>
      <c r="J8" t="s">
        <v>3</v>
      </c>
      <c r="K8">
        <v>0.65</v>
      </c>
      <c r="L8">
        <v>0.48</v>
      </c>
      <c r="M8">
        <v>0.78</v>
      </c>
      <c r="N8">
        <v>0.66</v>
      </c>
      <c r="P8" t="s">
        <v>22</v>
      </c>
    </row>
    <row r="9" spans="1:16" x14ac:dyDescent="0.2">
      <c r="A9" t="s">
        <v>7</v>
      </c>
      <c r="B9" t="s">
        <v>4</v>
      </c>
      <c r="C9">
        <v>0.2</v>
      </c>
      <c r="D9">
        <v>0.22</v>
      </c>
      <c r="E9">
        <v>0.52</v>
      </c>
      <c r="F9">
        <v>0.34</v>
      </c>
      <c r="G9" t="str">
        <f t="shared" si="0"/>
        <v>0.22 – 0.52</v>
      </c>
      <c r="I9" t="s">
        <v>7</v>
      </c>
      <c r="J9" t="s">
        <v>4</v>
      </c>
      <c r="K9">
        <v>0.21000000000000002</v>
      </c>
      <c r="L9">
        <v>0.23</v>
      </c>
      <c r="M9">
        <v>0.53</v>
      </c>
      <c r="N9">
        <v>0.35000000000000003</v>
      </c>
      <c r="P9" t="s">
        <v>23</v>
      </c>
    </row>
    <row r="11" spans="1:16" x14ac:dyDescent="0.2">
      <c r="A11" t="s">
        <v>12</v>
      </c>
    </row>
    <row r="12" spans="1:16" x14ac:dyDescent="0.2">
      <c r="A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tet_spsum</vt:lpstr>
      <vt:lpstr>Sheet1</vt:lpstr>
      <vt:lpstr>Tet_Model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Ogbeide</dc:creator>
  <cp:lastModifiedBy>Collins Ogbeide</cp:lastModifiedBy>
  <dcterms:created xsi:type="dcterms:W3CDTF">2025-04-29T16:32:16Z</dcterms:created>
  <dcterms:modified xsi:type="dcterms:W3CDTF">2025-10-10T14:55:21Z</dcterms:modified>
</cp:coreProperties>
</file>